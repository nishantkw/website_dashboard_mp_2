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ImranAhmed\Downloads\"/>
    </mc:Choice>
  </mc:AlternateContent>
  <xr:revisionPtr revIDLastSave="0" documentId="13_ncr:1_{84078B0F-568E-4970-BD37-50CD1856878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4" i="1"/>
  <c r="D9" i="1"/>
  <c r="E9" i="1" s="1"/>
  <c r="D8" i="1"/>
  <c r="E8" i="1" s="1"/>
  <c r="E7" i="1"/>
  <c r="E6" i="1"/>
  <c r="D5" i="1"/>
  <c r="E5" i="1" s="1"/>
  <c r="D10" i="1" l="1"/>
  <c r="E4" i="1"/>
  <c r="E10" i="1" s="1"/>
</calcChain>
</file>

<file path=xl/sharedStrings.xml><?xml version="1.0" encoding="utf-8"?>
<sst xmlns="http://schemas.openxmlformats.org/spreadsheetml/2006/main" count="22" uniqueCount="22">
  <si>
    <t>#</t>
  </si>
  <si>
    <t>Item</t>
  </si>
  <si>
    <t>Specification</t>
  </si>
  <si>
    <t>Monthly Cost</t>
  </si>
  <si>
    <t>Annual Cost</t>
  </si>
  <si>
    <t>Virtual Machine</t>
  </si>
  <si>
    <t>OS Disk</t>
  </si>
  <si>
    <t>256 GB</t>
  </si>
  <si>
    <t>Data Disk</t>
  </si>
  <si>
    <t>1 Static IP</t>
  </si>
  <si>
    <t>IP Address</t>
  </si>
  <si>
    <t>Egress</t>
  </si>
  <si>
    <t>200 GB</t>
  </si>
  <si>
    <t>Defender</t>
  </si>
  <si>
    <t>Total Cost</t>
  </si>
  <si>
    <t>Ayushman Bharat</t>
  </si>
  <si>
    <t>Cost Esitmate of Server for Data Replication</t>
  </si>
  <si>
    <t>Note:</t>
  </si>
  <si>
    <t>2. The prices mentioned above are exclusive of 18% GST.</t>
  </si>
  <si>
    <t>1. If require, we can provide you with Postgre DaaS as well instead tradtional VM.</t>
  </si>
  <si>
    <t xml:space="preserve">8vCPU and 32GB RAM, Linux OS, Postgre DB </t>
  </si>
  <si>
    <t>2048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</si>
</sst>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0" fontId="1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showGridLines="0" tabSelected="1" workbookViewId="0">
      <selection activeCell="D4" sqref="D4"/>
    </sheetView>
  </sheetViews>
  <sheetFormatPr defaultRowHeight="14.5" x14ac:dyDescent="0.35"/>
  <cols>
    <col min="2" max="2" width="15.7265625" customWidth="1"/>
    <col min="3" max="3" width="38.6328125" bestFit="1" customWidth="1"/>
    <col min="4" max="4" width="14.08984375" customWidth="1"/>
    <col min="5" max="5" width="14.26953125" customWidth="1"/>
  </cols>
  <sheetData>
    <row r="1" spans="1:5" s="2" customFormat="1" ht="18" customHeight="1" x14ac:dyDescent="0.35">
      <c r="A1" s="11" t="s">
        <v>15</v>
      </c>
      <c r="B1" s="11"/>
      <c r="C1" s="11"/>
      <c r="D1" s="11"/>
      <c r="E1" s="11"/>
    </row>
    <row r="2" spans="1:5" s="2" customFormat="1" ht="18" customHeight="1" x14ac:dyDescent="0.35">
      <c r="A2" s="11" t="s">
        <v>16</v>
      </c>
      <c r="B2" s="11"/>
      <c r="C2" s="11"/>
      <c r="D2" s="11"/>
      <c r="E2" s="11"/>
    </row>
    <row r="3" spans="1:5" s="2" customFormat="1" ht="17.5" customHeight="1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</row>
    <row r="4" spans="1:5" s="2" customFormat="1" ht="17.5" customHeight="1" x14ac:dyDescent="0.35">
      <c r="A4" s="1">
        <v>1</v>
      </c>
      <c r="B4" s="3" t="s">
        <v>5</v>
      </c>
      <c r="C4" s="3" t="s">
        <v>20</v>
      </c>
      <c r="D4" s="7">
        <f>22.12*730</f>
        <v>16147.6</v>
      </c>
      <c r="E4" s="7">
        <f>D4*12</f>
        <v>193771.2</v>
      </c>
    </row>
    <row r="5" spans="1:5" s="2" customFormat="1" ht="17.5" customHeight="1" x14ac:dyDescent="0.35">
      <c r="A5" s="1">
        <v>2</v>
      </c>
      <c r="B5" s="3" t="s">
        <v>6</v>
      </c>
      <c r="C5" s="3" t="s">
        <v>7</v>
      </c>
      <c r="D5" s="7">
        <f>9.55*256</f>
        <v>2444.8000000000002</v>
      </c>
      <c r="E5" s="7">
        <f>D5*12</f>
        <v>29337.600000000002</v>
      </c>
    </row>
    <row r="6" spans="1:5" s="2" customFormat="1" ht="17.5" customHeight="1" x14ac:dyDescent="0.35">
      <c r="A6" s="1">
        <v>3</v>
      </c>
      <c r="B6" s="3" t="s">
        <v>8</v>
      </c>
      <c r="C6" s="3" t="s">
        <v>21</v>
      </c>
      <c r="D6" s="7">
        <f>9.55*2048</f>
        <v>19558.400000000001</v>
      </c>
      <c r="E6" s="7">
        <f>D6*12</f>
        <v>234700.80000000002</v>
      </c>
    </row>
    <row r="7" spans="1:5" s="2" customFormat="1" ht="17.5" customHeight="1" x14ac:dyDescent="0.35">
      <c r="A7" s="1">
        <v>4</v>
      </c>
      <c r="B7" s="3" t="s">
        <v>10</v>
      </c>
      <c r="C7" s="3" t="s">
        <v>9</v>
      </c>
      <c r="D7" s="7">
        <v>312.08</v>
      </c>
      <c r="E7" s="7">
        <f>D7*1</f>
        <v>312.08</v>
      </c>
    </row>
    <row r="8" spans="1:5" s="2" customFormat="1" ht="17.5" customHeight="1" x14ac:dyDescent="0.35">
      <c r="A8" s="1">
        <v>5</v>
      </c>
      <c r="B8" s="3" t="s">
        <v>11</v>
      </c>
      <c r="C8" s="3" t="s">
        <v>12</v>
      </c>
      <c r="D8" s="7">
        <f>9.33*200</f>
        <v>1866</v>
      </c>
      <c r="E8" s="7">
        <f>D8*12</f>
        <v>22392</v>
      </c>
    </row>
    <row r="9" spans="1:5" s="2" customFormat="1" ht="17.5" customHeight="1" x14ac:dyDescent="0.35">
      <c r="A9" s="1">
        <v>6</v>
      </c>
      <c r="B9" s="3" t="s">
        <v>13</v>
      </c>
      <c r="C9" s="3"/>
      <c r="D9" s="7">
        <f>1.54*730</f>
        <v>1124.2</v>
      </c>
      <c r="E9" s="7">
        <f>D9*12</f>
        <v>13490.400000000001</v>
      </c>
    </row>
    <row r="10" spans="1:5" s="2" customFormat="1" ht="17.5" customHeight="1" x14ac:dyDescent="0.35">
      <c r="A10" s="6">
        <v>7</v>
      </c>
      <c r="B10" s="10" t="s">
        <v>14</v>
      </c>
      <c r="C10" s="10"/>
      <c r="D10" s="8">
        <f>SUM(D4:D9)</f>
        <v>41453.08</v>
      </c>
      <c r="E10" s="8">
        <f>SUM(E4:E9)</f>
        <v>494004.08000000007</v>
      </c>
    </row>
    <row r="12" spans="1:5" x14ac:dyDescent="0.35">
      <c r="A12" s="9" t="s">
        <v>17</v>
      </c>
    </row>
    <row r="13" spans="1:5" x14ac:dyDescent="0.35">
      <c r="A13" t="s">
        <v>19</v>
      </c>
    </row>
    <row r="14" spans="1:5" x14ac:dyDescent="0.35">
      <c r="A14" t="s">
        <v>18</v>
      </c>
    </row>
  </sheetData>
  <mergeCells count="3">
    <mergeCell ref="B10:C10"/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Ahmed</dc:creator>
  <cp:lastModifiedBy>Imran Ahmed</cp:lastModifiedBy>
  <dcterms:created xsi:type="dcterms:W3CDTF">2015-06-05T18:17:20Z</dcterms:created>
  <dcterms:modified xsi:type="dcterms:W3CDTF">2026-09-15T05:06:04Z</dcterms:modified>
</cp:coreProperties>
</file>